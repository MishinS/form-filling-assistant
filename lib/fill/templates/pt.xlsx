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ПТ" sheetId="1" state="visible" r:id="rId1"/>
    <sheet xmlns:r="http://schemas.openxmlformats.org/officeDocument/2006/relationships" name="Счет" sheetId="2" state="visible" r:id="rId2"/>
    <sheet xmlns:r="http://schemas.openxmlformats.org/officeDocument/2006/relationships" name="График оплат" sheetId="3" state="visible" r:id="rId3"/>
    <sheet xmlns:r="http://schemas.openxmlformats.org/officeDocument/2006/relationships" name="для вставки" sheetId="4" state="hidden" r:id="rId4"/>
    <sheet xmlns:r="http://schemas.openxmlformats.org/officeDocument/2006/relationships" name="Лист1" sheetId="5" state="hidden" r:id="rId5"/>
  </sheets>
  <definedNames>
    <definedName name="Excel_BuiltIn_Print_Area_1">#REF!</definedName>
    <definedName name="замена_старого__впервые_приобретается__ремонт">#REF!</definedName>
    <definedName name="КурсДолл">#REF!</definedName>
    <definedName name="КурсЕвро">#REF!</definedName>
    <definedName name="Приоритет">#REF!</definedName>
    <definedName name="Тип_договора">#REF!</definedName>
    <definedName name="Тип_расхода">#REF!</definedName>
    <definedName name="Типрасхода">#REF!</definedName>
    <definedName name="_xlnm._FilterDatabase" localSheetId="3" hidden="1">'для вставки'!$B$4:$E$61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[$-419]mmmm\ yyyy;@"/>
    <numFmt numFmtId="165" formatCode="_-* #,##0.00_р_._-;\-* #,##0.00_р_._-;_-* \-??_р_._-;_-@_-"/>
    <numFmt numFmtId="166" formatCode="yyyy\-mm\-dd"/>
    <numFmt numFmtId="167" formatCode="dd.mm.yyyy"/>
    <numFmt numFmtId="168" formatCode="#,##0.0000"/>
    <numFmt numFmtId="169" formatCode="yyyy-mm-dd"/>
  </numFmts>
  <fonts count="29">
    <font>
      <name val="Calibri"/>
      <color theme="1"/>
      <sz val="11"/>
    </font>
    <font>
      <name val="Calibri"/>
      <charset val="204"/>
      <family val="2"/>
      <color theme="1"/>
      <sz val="11"/>
      <scheme val="minor"/>
    </font>
    <font>
      <name val="Verdana"/>
      <color theme="1"/>
      <sz val="11"/>
    </font>
    <font>
      <name val="Tahoma"/>
      <b val="1"/>
      <color theme="1"/>
      <sz val="12"/>
    </font>
    <font>
      <name val="Tahoma"/>
      <color theme="1"/>
      <sz val="12"/>
    </font>
    <font>
      <name val="Verdana"/>
      <color theme="10"/>
      <sz val="11"/>
      <u val="single"/>
    </font>
    <font>
      <name val="Verdana"/>
      <b val="1"/>
      <sz val="11"/>
      <u val="single"/>
    </font>
    <font>
      <name val="Tahoma"/>
      <b val="1"/>
      <sz val="12"/>
    </font>
    <font>
      <name val="Verdana"/>
      <b val="1"/>
      <color theme="1"/>
      <sz val="11"/>
    </font>
    <font>
      <name val="Tahoma"/>
      <charset val="204"/>
      <family val="2"/>
      <color theme="1"/>
      <sz val="12"/>
    </font>
    <font>
      <name val="Tahoma"/>
      <charset val="204"/>
      <family val="2"/>
      <b val="1"/>
      <sz val="14"/>
    </font>
    <font>
      <name val="Arial"/>
      <charset val="204"/>
      <family val="2"/>
      <b val="1"/>
      <i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theme="1"/>
      <sz val="11"/>
    </font>
    <font>
      <name val="Tahoma"/>
      <charset val="204"/>
      <family val="2"/>
      <b val="1"/>
      <color theme="1"/>
      <sz val="12"/>
    </font>
    <font>
      <b val="1"/>
      <sz val="9"/>
    </font>
    <font>
      <b val="1"/>
      <sz val="10"/>
    </font>
    <font>
      <b val="1"/>
    </font>
    <font/>
    <font>
      <name val="Calibri"/>
      <b val="1"/>
      <color rgb="001F4E79"/>
      <sz val="14"/>
    </font>
    <font>
      <name val="Calibri"/>
      <b val="1"/>
      <color rgb="00595959"/>
      <sz val="9"/>
    </font>
    <font>
      <name val="Calibri"/>
      <b val="1"/>
      <color rgb="0000AEE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7F7F7F"/>
      <sz val="10"/>
    </font>
    <font>
      <name val="Calibri"/>
      <b val="1"/>
      <color rgb="001F4E79"/>
      <sz val="10"/>
    </font>
    <font>
      <name val="Calibri"/>
      <i val="1"/>
      <color rgb="00999999"/>
      <sz val="8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theme="4" tint="0.7999511703848384"/>
        <bgColor indexed="65"/>
      </patternFill>
    </fill>
    <fill>
      <patternFill patternType="solid">
        <fgColor theme="0" tint="-0.0499893185216834"/>
        <bgColor indexed="65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0"/>
      </patternFill>
    </fill>
    <fill>
      <patternFill patternType="solid">
        <fgColor rgb="0000AEEF"/>
        <bgColor rgb="0000AEEF"/>
      </patternFill>
    </fill>
    <fill>
      <patternFill patternType="solid">
        <fgColor rgb="00D6E4F0"/>
        <bgColor rgb="00D6E4F0"/>
      </patternFill>
    </fill>
  </fills>
  <borders count="18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/>
    <border>
      <left style="thin">
        <color rgb="0000AEEF"/>
      </left>
      <right style="thin">
        <color rgb="0000AEEF"/>
      </right>
      <top style="thin">
        <color rgb="0000AEEF"/>
      </top>
      <bottom style="thin">
        <color rgb="0000AEE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AEE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medium">
        <color rgb="0000AEEF"/>
      </bottom>
      <diagonal/>
    </border>
  </borders>
  <cellStyleXfs count="2">
    <xf numFmtId="0" fontId="0" fillId="0" borderId="0"/>
    <xf numFmtId="0" fontId="1" fillId="0" borderId="0"/>
  </cellStyleXfs>
  <cellXfs count="103">
    <xf numFmtId="0" fontId="2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2" borderId="1" pivotButton="0" quotePrefix="0" xfId="0"/>
    <xf numFmtId="17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5" fontId="2" fillId="0" borderId="0" pivotButton="0" quotePrefix="0" xfId="0"/>
    <xf numFmtId="0" fontId="3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14" fontId="4" fillId="4" borderId="1" applyAlignment="1" pivotButton="0" quotePrefix="0" xfId="0">
      <alignment horizontal="center" vertical="center" wrapText="1"/>
    </xf>
    <xf numFmtId="14" fontId="4" fillId="3" borderId="2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0" borderId="0" applyAlignment="1" pivotButton="0" quotePrefix="0" xfId="0">
      <alignment wrapText="1"/>
    </xf>
    <xf numFmtId="164" fontId="2" fillId="0" borderId="0" pivotButton="0" quotePrefix="0" xfId="0"/>
    <xf numFmtId="0" fontId="8" fillId="0" borderId="0" pivotButton="0" quotePrefix="0" xfId="0"/>
    <xf numFmtId="0" fontId="2" fillId="5" borderId="0" pivotButton="0" quotePrefix="0" xfId="0"/>
    <xf numFmtId="164" fontId="9" fillId="3" borderId="1" applyAlignment="1" pivotButton="0" quotePrefix="0" xfId="0">
      <alignment horizontal="center" vertical="center"/>
    </xf>
    <xf numFmtId="0" fontId="10" fillId="0" borderId="0" pivotButton="0" quotePrefix="0" xfId="1"/>
    <xf numFmtId="0" fontId="10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3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justify" vertical="center"/>
    </xf>
    <xf numFmtId="0" fontId="13" fillId="0" borderId="0" applyAlignment="1" pivotButton="0" quotePrefix="0" xfId="1">
      <alignment horizontal="justify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" fillId="0" borderId="0" pivotButton="0" quotePrefix="0" xfId="1"/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3" fillId="3" borderId="1" applyAlignment="1" pivotButton="0" quotePrefix="0" xfId="0">
      <alignment horizontal="right" vertical="center"/>
    </xf>
    <xf numFmtId="0" fontId="0" fillId="0" borderId="7" pivotButton="0" quotePrefix="0" xfId="0"/>
    <xf numFmtId="165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2" borderId="0" applyAlignment="1" pivotButton="0" quotePrefix="0" xfId="0">
      <alignment horizontal="center"/>
    </xf>
    <xf numFmtId="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2" borderId="1" applyAlignment="1" pivotButton="0" quotePrefix="0" xfId="0">
      <alignment horizontal="center"/>
    </xf>
    <xf numFmtId="0" fontId="9" fillId="3" borderId="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2" fillId="0" borderId="0" pivotButton="0" quotePrefix="0" xfId="0"/>
    <xf numFmtId="0" fontId="11" fillId="0" borderId="0" applyAlignment="1" pivotButton="0" quotePrefix="0" xfId="1">
      <alignment horizontal="left" vertical="center"/>
    </xf>
    <xf numFmtId="4" fontId="11" fillId="0" borderId="0" applyAlignment="1" pivotButton="0" quotePrefix="0" xfId="1">
      <alignment horizontal="left" vertical="center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wrapText="1"/>
    </xf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8" fillId="0" borderId="0" applyAlignment="1" pivotButton="0" quotePrefix="0" xfId="1">
      <alignment horizontal="center" vertical="center"/>
    </xf>
    <xf numFmtId="0" fontId="20" fillId="0" borderId="11" applyAlignment="1" pivotButton="0" quotePrefix="0" xfId="0">
      <alignment horizontal="left" vertical="center"/>
    </xf>
    <xf numFmtId="0" fontId="21" fillId="0" borderId="11" applyAlignment="1" pivotButton="0" quotePrefix="0" xfId="0">
      <alignment horizontal="left" vertical="center"/>
    </xf>
    <xf numFmtId="0" fontId="22" fillId="0" borderId="11" applyAlignment="1" pivotButton="0" quotePrefix="0" xfId="0">
      <alignment horizontal="left" vertical="center"/>
    </xf>
    <xf numFmtId="0" fontId="19" fillId="0" borderId="11" pivotButton="0" quotePrefix="0" xfId="1"/>
    <xf numFmtId="0" fontId="21" fillId="0" borderId="11" applyAlignment="1" pivotButton="0" quotePrefix="0" xfId="0">
      <alignment horizontal="right" vertical="center"/>
    </xf>
    <xf numFmtId="168" fontId="22" fillId="0" borderId="11" applyAlignment="1" pivotButton="0" quotePrefix="0" xfId="0">
      <alignment horizontal="left" vertical="center"/>
    </xf>
    <xf numFmtId="0" fontId="19" fillId="0" borderId="11" pivotButton="0" quotePrefix="0" xfId="0"/>
    <xf numFmtId="0" fontId="23" fillId="6" borderId="12" applyAlignment="1" pivotButton="0" quotePrefix="0" xfId="1">
      <alignment horizontal="center" vertical="center"/>
    </xf>
    <xf numFmtId="4" fontId="23" fillId="6" borderId="12" applyAlignment="1" pivotButton="0" quotePrefix="0" xfId="1">
      <alignment horizontal="center" vertical="center"/>
    </xf>
    <xf numFmtId="4" fontId="23" fillId="6" borderId="12" applyAlignment="1" pivotButton="0" quotePrefix="0" xfId="0">
      <alignment horizontal="center" vertical="center"/>
    </xf>
    <xf numFmtId="167" fontId="23" fillId="6" borderId="12" applyAlignment="1" pivotButton="0" quotePrefix="0" xfId="0">
      <alignment horizontal="center" vertical="center"/>
    </xf>
    <xf numFmtId="168" fontId="23" fillId="6" borderId="12" applyAlignment="1" pivotButton="0" quotePrefix="0" xfId="0">
      <alignment horizontal="center" vertical="center"/>
    </xf>
    <xf numFmtId="0" fontId="24" fillId="0" borderId="13" applyAlignment="1" pivotButton="0" quotePrefix="0" xfId="1">
      <alignment horizontal="center" vertical="center"/>
    </xf>
    <xf numFmtId="0" fontId="24" fillId="0" borderId="13" applyAlignment="1" pivotButton="0" quotePrefix="0" xfId="0">
      <alignment horizontal="left" vertical="center"/>
    </xf>
    <xf numFmtId="4" fontId="24" fillId="0" borderId="13" applyAlignment="1" pivotButton="0" quotePrefix="0" xfId="0">
      <alignment horizontal="center" vertical="center"/>
    </xf>
    <xf numFmtId="4" fontId="24" fillId="0" borderId="13" applyAlignment="1" pivotButton="0" quotePrefix="0" xfId="0">
      <alignment horizontal="right" vertical="center"/>
    </xf>
    <xf numFmtId="4" fontId="25" fillId="0" borderId="13" applyAlignment="1" pivotButton="0" quotePrefix="0" xfId="0">
      <alignment horizontal="center" vertical="center"/>
    </xf>
    <xf numFmtId="0" fontId="26" fillId="7" borderId="14" applyAlignment="1" pivotButton="0" quotePrefix="0" xfId="1">
      <alignment horizontal="left" vertical="center"/>
    </xf>
    <xf numFmtId="0" fontId="26" fillId="7" borderId="14" applyAlignment="1" pivotButton="0" quotePrefix="0" xfId="0">
      <alignment horizontal="center" vertical="center"/>
    </xf>
    <xf numFmtId="4" fontId="26" fillId="7" borderId="14" applyAlignment="1" pivotButton="0" quotePrefix="0" xfId="0">
      <alignment horizontal="right" vertical="center"/>
    </xf>
    <xf numFmtId="0" fontId="19" fillId="7" borderId="14" pivotButton="0" quotePrefix="0" xfId="0"/>
    <xf numFmtId="0" fontId="27" fillId="0" borderId="11" pivotButton="0" quotePrefix="0" xfId="1"/>
    <xf numFmtId="0" fontId="0" fillId="0" borderId="17" pivotButton="0" quotePrefix="0" xfId="0"/>
    <xf numFmtId="0" fontId="28" fillId="0" borderId="11" pivotButton="0" quotePrefix="0" xfId="0"/>
    <xf numFmtId="0" fontId="21" fillId="0" borderId="11" pivotButton="0" quotePrefix="0" xfId="0"/>
    <xf numFmtId="0" fontId="22" fillId="0" borderId="11" pivotButton="0" quotePrefix="0" xfId="0"/>
    <xf numFmtId="0" fontId="28" fillId="0" borderId="11" pivotButton="0" quotePrefix="0" xfId="1"/>
    <xf numFmtId="168" fontId="22" fillId="0" borderId="11" pivotButton="0" quotePrefix="0" xfId="0"/>
    <xf numFmtId="4" fontId="28" fillId="0" borderId="11" pivotButton="0" quotePrefix="0" xfId="0"/>
    <xf numFmtId="169" fontId="24" fillId="0" borderId="13" applyAlignment="1" pivotButton="0" quotePrefix="0" xfId="0">
      <alignment horizontal="center" vertical="center"/>
    </xf>
    <xf numFmtId="0" fontId="26" fillId="7" borderId="14" pivotButton="0" quotePrefix="0" xfId="0"/>
    <xf numFmtId="4" fontId="26" fillId="7" borderId="14" pivotButton="0" quotePrefix="0" xfId="0"/>
  </cellXfs>
  <cellStyles count="2">
    <cellStyle name="Обычный" xfId="0" builtinId="0"/>
    <cellStyle name="Обычный 2" xfId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H6" authorId="0" shapeId="0">
      <text>
        <t xml:space="preserve">выбрать из списка
</t>
      </text>
    </comment>
    <comment ref="C11" authorId="0" shapeId="0">
      <text>
        <t>Что покупаем?</t>
      </text>
    </comment>
    <comment ref="F13" authorId="0" shapeId="0">
      <text>
        <t xml:space="preserve">выбрать из списка
</t>
      </text>
    </comment>
    <comment ref="F14" authorId="0" shapeId="0">
      <text>
        <t xml:space="preserve">выбрать из списка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/>
    <pageSetUpPr/>
  </sheetPr>
  <dimension ref="B1:O34"/>
  <sheetViews>
    <sheetView tabSelected="1" zoomScale="85" zoomScaleNormal="85" workbookViewId="0">
      <selection activeCell="K17" sqref="K17"/>
    </sheetView>
  </sheetViews>
  <sheetFormatPr baseColWidth="8" defaultColWidth="11.28515625" defaultRowHeight="15"/>
  <cols>
    <col width="3.140625" customWidth="1" style="38" min="1" max="1"/>
    <col width="5.140625" customWidth="1" style="38" min="2" max="2"/>
    <col width="54.140625" customWidth="1" style="38" min="3" max="3"/>
    <col width="20.28515625" customWidth="1" style="38" min="4" max="4"/>
    <col width="18.28515625" customWidth="1" style="38" min="5" max="5"/>
    <col width="19.140625" customWidth="1" style="38" min="6" max="6"/>
    <col width="17.42578125" customWidth="1" style="38" min="7" max="7"/>
    <col width="34.42578125" customWidth="1" style="38" min="8" max="8"/>
    <col width="11.42578125" customWidth="1" style="38" min="9" max="9"/>
    <col width="13.28515625" bestFit="1" customWidth="1" style="38" min="10" max="10"/>
    <col width="10.85546875" customWidth="1" style="38" min="15" max="17"/>
  </cols>
  <sheetData>
    <row r="1" ht="24.75" customHeight="1" s="38">
      <c r="B1" s="37" t="inlineStr">
        <is>
          <t>ПЛАТЕЖНОЕ ТРЕБОВАНИЕ</t>
        </is>
      </c>
    </row>
    <row r="2" ht="12.75" customHeight="1" s="38">
      <c r="B2" s="1" t="n"/>
      <c r="C2" s="44" t="n"/>
    </row>
    <row r="3" ht="22.5" customHeight="1" s="38">
      <c r="B3" s="48" t="inlineStr">
        <is>
          <t>Автор заказа:</t>
        </is>
      </c>
      <c r="C3" s="40" t="n"/>
      <c r="D3" s="46" t="inlineStr">
        <is>
          <t>Мишин С. С.</t>
        </is>
      </c>
      <c r="E3" s="43" t="n"/>
      <c r="F3" s="43" t="n"/>
      <c r="G3" s="43" t="n"/>
      <c r="H3" s="40" t="n"/>
    </row>
    <row r="4" ht="30.75" customHeight="1" s="38">
      <c r="B4" s="48" t="inlineStr">
        <is>
          <t>Ответственный за статью (ЦФО):</t>
        </is>
      </c>
      <c r="C4" s="48" t="n"/>
      <c r="D4" s="46" t="inlineStr">
        <is>
          <t>Суровцев Ф. А.</t>
        </is>
      </c>
      <c r="E4" s="43" t="n"/>
      <c r="F4" s="40" t="n"/>
      <c r="G4" s="49" t="inlineStr">
        <is>
          <t>Департамент:</t>
        </is>
      </c>
      <c r="H4" s="2" t="inlineStr">
        <is>
          <t>Департамент развития</t>
        </is>
      </c>
    </row>
    <row r="5" ht="13.5" customHeight="1" s="38">
      <c r="B5" s="3" t="n"/>
      <c r="C5" s="3" t="n"/>
      <c r="D5" s="4" t="n"/>
      <c r="E5" s="4" t="n"/>
      <c r="F5" s="5" t="n"/>
      <c r="G5" s="6" t="n"/>
      <c r="H5" s="1" t="n"/>
    </row>
    <row r="6" ht="27.75" customHeight="1" s="38">
      <c r="B6" s="48" t="inlineStr">
        <is>
          <t>Класс расхода:</t>
        </is>
      </c>
      <c r="C6" s="40" t="n"/>
      <c r="D6" s="48" t="inlineStr">
        <is>
          <t>ВНЕБЮДЖЕТ</t>
        </is>
      </c>
      <c r="E6" s="40" t="n"/>
      <c r="F6" s="49" t="inlineStr">
        <is>
          <t>Месяц расхода (Бюджет PL):</t>
        </is>
      </c>
      <c r="G6" s="40" t="n"/>
      <c r="H6" s="7" t="n">
        <v>46174</v>
      </c>
    </row>
    <row r="7" ht="23.25" customHeight="1" s="38">
      <c r="B7" s="48" t="inlineStr">
        <is>
          <t>Группа расхода:</t>
        </is>
      </c>
      <c r="C7" s="40" t="n"/>
      <c r="D7" s="48" t="inlineStr">
        <is>
          <t>ФОНД РАЗВИТИЯ</t>
        </is>
      </c>
      <c r="E7" s="40" t="n"/>
      <c r="F7" s="59" t="n"/>
      <c r="G7" s="40" t="n"/>
      <c r="H7" s="7" t="n"/>
    </row>
    <row r="8" ht="25.5" customHeight="1" s="38">
      <c r="B8" s="48" t="inlineStr">
        <is>
          <t>Тип расхода:</t>
        </is>
      </c>
      <c r="C8" s="40" t="n"/>
      <c r="D8" s="48" t="inlineStr">
        <is>
          <t>Санаторий СД</t>
        </is>
      </c>
      <c r="E8" s="40" t="n"/>
      <c r="F8" s="49" t="inlineStr">
        <is>
          <t xml:space="preserve">Подразделение: </t>
        </is>
      </c>
      <c r="G8" s="40" t="n"/>
      <c r="H8" s="7" t="inlineStr">
        <is>
          <t>Ф18</t>
        </is>
      </c>
    </row>
    <row r="9" ht="21.75" customHeight="1" s="38">
      <c r="B9" s="48" t="inlineStr">
        <is>
          <t>Контрагент:</t>
        </is>
      </c>
      <c r="C9" s="40" t="n"/>
      <c r="D9" s="50" t="inlineStr">
        <is>
          <t>ООО "МК Клевер"</t>
        </is>
      </c>
      <c r="E9" s="43" t="n"/>
      <c r="F9" s="43" t="n"/>
      <c r="G9" s="43" t="n"/>
      <c r="H9" s="43" t="n"/>
    </row>
    <row r="10" ht="12.75" customHeight="1" s="38">
      <c r="B10" s="8" t="n"/>
      <c r="C10" s="56" t="n"/>
      <c r="D10" s="43" t="n"/>
      <c r="E10" s="43" t="n"/>
      <c r="F10" s="43" t="n"/>
      <c r="G10" s="43" t="n"/>
      <c r="H10" s="40" t="n"/>
      <c r="J10" s="9" t="n"/>
    </row>
    <row r="11" ht="67.5" customHeight="1" s="38">
      <c r="B11" s="49" t="n">
        <v>1</v>
      </c>
      <c r="C11" s="10" t="inlineStr">
        <is>
          <t>Основание платежа:</t>
        </is>
      </c>
      <c r="D11" s="47" t="inlineStr">
        <is>
          <t>Оплата за установку оториноларингологическую УОРЛ-1 (блок автономной подачи теплой воды), согласно Счёту №41 от 16.04.2026 (Счёт-оферта №201 от 16.04.2026)</t>
        </is>
      </c>
      <c r="E11" s="43" t="n"/>
      <c r="F11" s="43" t="n"/>
      <c r="G11" s="43" t="n"/>
      <c r="H11" s="40" t="n"/>
    </row>
    <row r="12" ht="42.75" customHeight="1" s="38">
      <c r="B12" s="49" t="n">
        <v>2</v>
      </c>
      <c r="C12" s="10" t="inlineStr">
        <is>
          <t>Договор №, дата и Спецификация:</t>
        </is>
      </c>
      <c r="D12" s="51" t="inlineStr">
        <is>
          <t>Счёт-оферта №201 от 16.04.2026</t>
        </is>
      </c>
      <c r="E12" s="43" t="n"/>
      <c r="F12" s="11" t="inlineStr">
        <is>
          <t>Счет</t>
        </is>
      </c>
      <c r="G12" s="61" t="inlineStr">
        <is>
          <t>Смета</t>
        </is>
      </c>
      <c r="H12" s="40" t="n"/>
      <c r="J12" s="12" t="n"/>
    </row>
    <row r="13" ht="25.5" customHeight="1" s="38">
      <c r="B13" s="49" t="n">
        <v>3</v>
      </c>
      <c r="C13" s="48" t="inlineStr">
        <is>
          <t>Сумма по договору / сумма в рамках месяца :</t>
        </is>
      </c>
      <c r="D13" s="45">
        <f>'График оплат'!D6</f>
        <v/>
      </c>
      <c r="E13" s="40" t="n"/>
      <c r="F13" s="13" t="inlineStr">
        <is>
          <t>руб.</t>
        </is>
      </c>
      <c r="G13" s="65" t="inlineStr">
        <is>
          <t>Валюта:</t>
        </is>
      </c>
      <c r="J13" s="12" t="n"/>
    </row>
    <row r="14" ht="26.25" customHeight="1" s="38">
      <c r="B14" s="49" t="n">
        <v>4</v>
      </c>
      <c r="C14" s="48" t="inlineStr">
        <is>
          <t>Уже оплачено:</t>
        </is>
      </c>
      <c r="D14" s="41" t="n"/>
      <c r="E14" s="40" t="n"/>
      <c r="F14" s="13" t="inlineStr">
        <is>
          <t>руб.</t>
        </is>
      </c>
    </row>
    <row r="15" ht="26.25" customHeight="1" s="38">
      <c r="B15" s="49" t="n">
        <v>5</v>
      </c>
      <c r="C15" s="48" t="inlineStr">
        <is>
          <t>Сумма текущей оплаты:</t>
        </is>
      </c>
      <c r="D15" s="39">
        <f>'График оплат'!D5</f>
        <v/>
      </c>
      <c r="E15" s="40" t="n"/>
      <c r="F15" s="13" t="inlineStr">
        <is>
          <t>руб.</t>
        </is>
      </c>
      <c r="G15" s="14" t="inlineStr">
        <is>
          <t>Вид платежа:</t>
        </is>
      </c>
      <c r="H15" s="23" t="inlineStr">
        <is>
          <t>Аванс</t>
        </is>
      </c>
    </row>
    <row r="16" ht="38.25" customHeight="1" s="38">
      <c r="B16" s="49" t="n">
        <v>7</v>
      </c>
      <c r="C16" s="48" t="inlineStr">
        <is>
          <t>Условия оплаты по договору:</t>
        </is>
      </c>
      <c r="D16" s="58" t="inlineStr">
        <is>
          <t>Предоплата 100% в течение 3 рабочих дней</t>
        </is>
      </c>
      <c r="E16" s="43" t="n"/>
      <c r="F16" s="43" t="n"/>
      <c r="G16" s="10" t="inlineStr">
        <is>
          <t>срок оплаты:</t>
        </is>
      </c>
      <c r="H16" s="15" t="n">
        <v>46162</v>
      </c>
    </row>
    <row r="17" ht="45" customHeight="1" s="38">
      <c r="B17" s="49" t="n">
        <v>8</v>
      </c>
      <c r="C17" s="10" t="inlineStr">
        <is>
          <t>Условия оплаты фактические (если есть отклонения от договора) с указанием причин отклонений:</t>
        </is>
      </c>
      <c r="D17" s="50" t="n"/>
      <c r="E17" s="43" t="n"/>
      <c r="F17" s="43" t="n"/>
      <c r="G17" s="50" t="n"/>
      <c r="H17" s="43" t="n"/>
    </row>
    <row r="18" ht="15" customHeight="1" s="38">
      <c r="B18" s="8" t="n"/>
      <c r="C18" s="56" t="n"/>
      <c r="D18" s="43" t="n"/>
      <c r="E18" s="43" t="n"/>
      <c r="F18" s="43" t="n"/>
      <c r="G18" s="43" t="n"/>
      <c r="H18" s="40" t="n"/>
    </row>
    <row r="19" ht="42" customHeight="1" s="38">
      <c r="B19" s="49" t="n">
        <v>9</v>
      </c>
      <c r="C19" s="10" t="inlineStr">
        <is>
          <t>Условия поставки/оказания услуг по договору:</t>
        </is>
      </c>
      <c r="D19" s="57" t="inlineStr">
        <is>
          <t>Срок поставки 14 рабочих дней с даты поступления оплаты. Доставка за счет поставщика.</t>
        </is>
      </c>
      <c r="E19" s="43" t="n"/>
      <c r="F19" s="43" t="n"/>
      <c r="G19" s="43" t="n"/>
      <c r="H19" s="40" t="n"/>
    </row>
    <row r="20" ht="52.5" customHeight="1" s="38">
      <c r="B20" s="49" t="n">
        <v>10</v>
      </c>
      <c r="C20" s="10" t="inlineStr">
        <is>
          <t>Условия поставки/оказания услуг фактические (если есть отклонения по договору ) с указанием причин отклонений</t>
        </is>
      </c>
      <c r="D20" s="42" t="n"/>
      <c r="E20" s="43" t="n"/>
      <c r="F20" s="43" t="n"/>
      <c r="G20" s="43" t="n"/>
      <c r="H20" s="40" t="n"/>
    </row>
    <row r="21" ht="36" customHeight="1" s="38">
      <c r="B21" s="49" t="n">
        <v>11</v>
      </c>
      <c r="C21" s="10" t="inlineStr">
        <is>
          <t>Дата получения документов от контрагента ( по последнему документу):</t>
        </is>
      </c>
      <c r="D21" s="16" t="n"/>
      <c r="E21" s="60" t="inlineStr">
        <is>
          <t>Дата подписания документов со стороны СД:</t>
        </is>
      </c>
      <c r="F21" s="43" t="n"/>
      <c r="G21" s="40" t="n"/>
      <c r="H21" s="17" t="n"/>
    </row>
    <row r="22" ht="14.25" customHeight="1" s="38">
      <c r="B22" s="8" t="n"/>
      <c r="C22" s="56" t="n"/>
      <c r="D22" s="43" t="n"/>
      <c r="E22" s="43" t="n"/>
      <c r="F22" s="43" t="n"/>
      <c r="G22" s="43" t="n"/>
      <c r="H22" s="40" t="n"/>
    </row>
    <row r="23" ht="36.75" customHeight="1" s="38">
      <c r="B23" s="49" t="n">
        <v>12</v>
      </c>
      <c r="C23" s="48" t="inlineStr">
        <is>
          <t>Особые условия:</t>
        </is>
      </c>
      <c r="D23" s="42" t="n"/>
      <c r="E23" s="43" t="n"/>
      <c r="F23" s="43" t="n"/>
      <c r="G23" s="43" t="n"/>
      <c r="H23" s="40" t="n"/>
    </row>
    <row r="24" ht="16.5" customHeight="1" s="38">
      <c r="B24" s="18" t="n"/>
      <c r="C24" s="18" t="n"/>
      <c r="D24" s="18" t="n"/>
      <c r="E24" s="18" t="n"/>
      <c r="F24" s="18" t="n"/>
      <c r="G24" s="18" t="n"/>
      <c r="H24" s="18" t="n"/>
    </row>
    <row r="25" ht="22.5" customHeight="1" s="38"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</row>
    <row r="26"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</row>
    <row r="27"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</row>
    <row r="28"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</row>
    <row r="29"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</row>
    <row r="30"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</row>
    <row r="31"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</row>
    <row r="32"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</row>
    <row r="33"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</row>
    <row r="34"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</row>
  </sheetData>
  <mergeCells count="32">
    <mergeCell ref="C10:H10"/>
    <mergeCell ref="G12:H12"/>
    <mergeCell ref="D20:H20"/>
    <mergeCell ref="B7:C7"/>
    <mergeCell ref="B3:C3"/>
    <mergeCell ref="C22:H22"/>
    <mergeCell ref="D19:H19"/>
    <mergeCell ref="F6:G6"/>
    <mergeCell ref="D17:F17"/>
    <mergeCell ref="D16:F16"/>
    <mergeCell ref="G17:H17"/>
    <mergeCell ref="F7:G7"/>
    <mergeCell ref="D6:E6"/>
    <mergeCell ref="C2:H2"/>
    <mergeCell ref="D13:E13"/>
    <mergeCell ref="D4:F4"/>
    <mergeCell ref="D11:H11"/>
    <mergeCell ref="B8:C8"/>
    <mergeCell ref="F8:G8"/>
    <mergeCell ref="D7:E7"/>
    <mergeCell ref="C18:H18"/>
    <mergeCell ref="E21:G21"/>
    <mergeCell ref="B9:C9"/>
    <mergeCell ref="D9:H9"/>
    <mergeCell ref="D3:H3"/>
    <mergeCell ref="D8:E8"/>
    <mergeCell ref="D12:E12"/>
    <mergeCell ref="B6:C6"/>
    <mergeCell ref="B1:H1"/>
    <mergeCell ref="D15:E15"/>
    <mergeCell ref="D14:E14"/>
    <mergeCell ref="D23:H23"/>
  </mergeCells>
  <dataValidations count="4">
    <dataValidation sqref="H8" showDropDown="0" showInputMessage="1" showErrorMessage="1" allowBlank="1" errorTitle="Ошибка" error="Выберите подразделение из списка" promptTitle="Подразделение" prompt="Выберите подразделение из выпадающего списка" type="list">
      <formula1>Лист1!$A$9:$A$32</formula1>
    </dataValidation>
    <dataValidation sqref="F13" showDropDown="0" showInputMessage="1" showErrorMessage="1" allowBlank="1" errorTitle="Ошибка" error="Выберите валюту из списка" promptTitle="Валюта" prompt="Выберите валюту: руб., $ или евро" type="list">
      <formula1>Лист1!$C$4:$C$6</formula1>
    </dataValidation>
    <dataValidation sqref="F15" showDropDown="0" showInputMessage="1" showErrorMessage="1" allowBlank="1" errorTitle="Ошибка" error="Выберите валюту из списка" promptTitle="Валюта" prompt="Выберите валюту: руб., $ или евро" type="list">
      <formula1>Лист1!$C$4:$C$6</formula1>
    </dataValidation>
    <dataValidation sqref="H15" showDropDown="0" showInputMessage="0" showErrorMessage="0" allowBlank="1" type="list">
      <formula1>Лист1!$B$29:$B$31</formula1>
    </dataValidation>
  </dataValidations>
  <pageMargins left="0.700000047683716" right="0.700000047683716" top="0.75" bottom="0.75" header="0.300000011920929" footer="0.300000011920929"/>
  <pageSetup orientation="portrait" paperSize="9" fitToHeight="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30" zoomScaleNormal="130" workbookViewId="0">
      <selection activeCell="K16" sqref="K16"/>
    </sheetView>
  </sheetViews>
  <sheetFormatPr baseColWidth="8" defaultColWidth="10.85546875" defaultRowHeight="14.25"/>
  <cols>
    <col width="10.85546875" bestFit="1" customWidth="1" style="22" min="1" max="1"/>
    <col width="10.85546875" customWidth="1" style="22" min="2" max="2"/>
    <col width="10.85546875" customWidth="1" style="22" min="3" max="16384"/>
  </cols>
  <sheetData/>
  <pageMargins left="0.700000047683716" right="0.700000047683716" top="0.75" bottom="0.75" header="0.300000011920929" footer="0.30000001192092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B14" sqref="B14"/>
    </sheetView>
  </sheetViews>
  <sheetFormatPr baseColWidth="8" defaultRowHeight="18"/>
  <cols>
    <col width="6" customWidth="1" style="24" min="1" max="2"/>
    <col width="24" customWidth="1" style="38" min="2" max="2"/>
    <col width="8" customWidth="1" style="25" min="3" max="3"/>
    <col width="18" customWidth="1" style="24" min="4" max="5"/>
    <col width="14" customWidth="1" style="38" min="5" max="5"/>
    <col width="12" customWidth="1" style="24" min="6" max="6"/>
    <col width="9.140625" customWidth="1" style="24" min="7" max="16384"/>
  </cols>
  <sheetData>
    <row r="1" ht="30" customHeight="1" s="38">
      <c r="A1" s="71" t="inlineStr">
        <is>
          <t>График оплат</t>
        </is>
      </c>
      <c r="F1" s="94" t="n"/>
    </row>
    <row r="2" ht="18" customHeight="1" s="38">
      <c r="A2" s="95" t="inlineStr">
        <is>
          <t>Валюта договора:</t>
        </is>
      </c>
      <c r="B2" s="96" t="inlineStr">
        <is>
          <t>руб.</t>
        </is>
      </c>
      <c r="C2" s="97" t="n"/>
      <c r="D2" s="75" t="inlineStr">
        <is>
          <t>Курс:</t>
        </is>
      </c>
      <c r="E2" s="98" t="n">
        <v>1</v>
      </c>
      <c r="F2" s="94" t="n"/>
    </row>
    <row r="3" ht="6" customHeight="1" s="38">
      <c r="A3" s="94" t="n"/>
      <c r="B3" s="94" t="n"/>
      <c r="C3" s="94" t="n"/>
      <c r="D3" s="94" t="n"/>
      <c r="E3" s="94" t="n"/>
      <c r="F3" s="94" t="n"/>
    </row>
    <row r="4" ht="22" customHeight="1" s="38">
      <c r="A4" s="78" t="inlineStr">
        <is>
          <t>№</t>
        </is>
      </c>
      <c r="B4" s="79" t="inlineStr">
        <is>
          <t>Вид платежа</t>
        </is>
      </c>
      <c r="C4" s="80" t="inlineStr">
        <is>
          <t>%</t>
        </is>
      </c>
      <c r="D4" s="81" t="inlineStr">
        <is>
          <t>Сумма, руб.</t>
        </is>
      </c>
      <c r="E4" s="82" t="inlineStr">
        <is>
          <t>Срок</t>
        </is>
      </c>
      <c r="F4" s="99" t="n"/>
    </row>
    <row r="5" ht="20" customHeight="1" s="38">
      <c r="A5" s="83" t="n">
        <v>1</v>
      </c>
      <c r="B5" s="84" t="inlineStr">
        <is>
          <t>Предоплата</t>
        </is>
      </c>
      <c r="C5" s="85" t="inlineStr">
        <is>
          <t>100%</t>
        </is>
      </c>
      <c r="D5" s="86" t="n">
        <v>142275</v>
      </c>
      <c r="E5" s="100" t="n">
        <v>46162</v>
      </c>
      <c r="F5" s="99" t="n"/>
    </row>
    <row r="6" ht="22" customHeight="1" s="38">
      <c r="A6" s="88" t="inlineStr">
        <is>
          <t>Итого</t>
        </is>
      </c>
      <c r="B6" s="101" t="n"/>
      <c r="C6" s="102" t="n"/>
      <c r="D6" s="90">
        <f>SUM(D5:D5)</f>
        <v/>
      </c>
      <c r="E6" s="102" t="n"/>
      <c r="F6" s="99" t="n"/>
    </row>
    <row r="7" ht="4" customHeight="1" s="38">
      <c r="A7" s="94" t="n"/>
      <c r="B7" s="94" t="n"/>
      <c r="C7" s="94" t="n"/>
      <c r="D7" s="94" t="n"/>
      <c r="E7" s="94" t="n"/>
      <c r="F7" s="94" t="n"/>
    </row>
    <row r="8" ht="22" customHeight="1" s="38">
      <c r="A8" s="92" t="inlineStr">
        <is>
          <t>Суммы указаны в рублях РФ.</t>
        </is>
      </c>
      <c r="F8" s="94" t="n"/>
    </row>
    <row r="9">
      <c r="A9" s="92" t="inlineStr">
        <is>
          <t>Суммы в рублях рассчитываются автоматически по курсу ЦБ на дату составления ПТ</t>
        </is>
      </c>
      <c r="F9" s="94" t="n"/>
    </row>
    <row r="10">
      <c r="A10" s="97" t="n"/>
      <c r="B10" s="94" t="n"/>
      <c r="C10" s="94" t="n"/>
      <c r="D10" s="94" t="n"/>
      <c r="E10" s="94" t="n"/>
      <c r="F10" s="94" t="n"/>
    </row>
    <row r="11">
      <c r="A11" s="97" t="n"/>
      <c r="B11" s="97" t="n"/>
      <c r="C11" s="94" t="n"/>
      <c r="D11" s="94" t="n"/>
      <c r="E11" s="94" t="n"/>
      <c r="F11" s="94" t="n"/>
    </row>
    <row r="12">
      <c r="A12" s="97" t="n"/>
      <c r="B12" s="97" t="n"/>
      <c r="C12" s="94" t="n"/>
      <c r="D12" s="94" t="n"/>
      <c r="E12" s="94" t="n"/>
      <c r="F12" s="94" t="n"/>
    </row>
    <row r="13">
      <c r="A13" s="97" t="n"/>
      <c r="B13" s="97" t="n"/>
      <c r="C13" s="94" t="n"/>
      <c r="D13" s="94" t="n"/>
      <c r="E13" s="94" t="n"/>
      <c r="F13" s="94" t="n"/>
    </row>
    <row r="14">
      <c r="A14" s="97" t="n"/>
      <c r="B14" s="97" t="n"/>
      <c r="C14" s="94" t="n"/>
      <c r="D14" s="94" t="n"/>
      <c r="E14" s="94" t="n"/>
      <c r="F14" s="94" t="n"/>
    </row>
    <row r="15">
      <c r="A15" s="97" t="n"/>
      <c r="B15" s="97" t="n"/>
      <c r="C15" s="94" t="n"/>
      <c r="D15" s="94" t="n"/>
      <c r="E15" s="94" t="n"/>
      <c r="F15" s="94" t="n"/>
    </row>
    <row r="16">
      <c r="A16" s="74" t="n"/>
      <c r="B16" s="74" t="n"/>
      <c r="C16" s="77" t="n"/>
      <c r="D16" s="77" t="n"/>
      <c r="E16" s="77" t="n"/>
      <c r="F16" s="77" t="n"/>
    </row>
    <row r="17">
      <c r="A17" s="74" t="n"/>
      <c r="B17" s="74" t="n"/>
      <c r="C17" s="77" t="n"/>
      <c r="D17" s="77" t="n"/>
      <c r="E17" s="77" t="n"/>
      <c r="F17" s="77" t="n"/>
    </row>
    <row r="18">
      <c r="A18" s="74" t="n"/>
      <c r="B18" s="74" t="n"/>
      <c r="C18" s="77" t="n"/>
      <c r="D18" s="77" t="n"/>
      <c r="E18" s="77" t="n"/>
      <c r="F18" s="77" t="n"/>
    </row>
  </sheetData>
  <mergeCells count="3">
    <mergeCell ref="A1:E1"/>
    <mergeCell ref="A9:E9"/>
    <mergeCell ref="A8:E8"/>
  </mergeCells>
  <pageMargins left="0.7" right="0.7" top="0.75" bottom="0.75" header="0.3" footer="0.3"/>
  <pageSetup orientation="landscape" paperSize="9" scale="69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H77"/>
  <sheetViews>
    <sheetView workbookViewId="0">
      <selection activeCell="A1" sqref="A1"/>
    </sheetView>
  </sheetViews>
  <sheetFormatPr baseColWidth="8" defaultColWidth="11.28515625" defaultRowHeight="15"/>
  <cols>
    <col width="23" customWidth="1" style="38" min="4" max="4"/>
    <col width="16.42578125" customWidth="1" style="38" min="8" max="8"/>
  </cols>
  <sheetData>
    <row r="4" ht="14.25" customHeight="1" s="38">
      <c r="B4" s="0" t="inlineStr">
        <is>
          <t>Филиал</t>
        </is>
      </c>
      <c r="C4" s="0" t="inlineStr">
        <is>
          <t>Класс</t>
        </is>
      </c>
      <c r="D4" s="0" t="inlineStr">
        <is>
          <t>Группа</t>
        </is>
      </c>
      <c r="E4" s="0" t="inlineStr">
        <is>
          <t>Тип</t>
        </is>
      </c>
      <c r="H4" s="0" t="inlineStr">
        <is>
          <t>месяц</t>
        </is>
      </c>
    </row>
    <row r="5">
      <c r="B5" s="0" t="inlineStr">
        <is>
          <t>Ф1</t>
        </is>
      </c>
      <c r="C5" s="0" t="inlineStr">
        <is>
          <t>ВНЕБЮДЖЕТ</t>
        </is>
      </c>
      <c r="D5" s="0" t="inlineStr">
        <is>
          <t>ФОНДЫ</t>
        </is>
      </c>
      <c r="E5" s="0" t="inlineStr">
        <is>
          <t>ОФОРМЛЕНИЯ</t>
        </is>
      </c>
    </row>
    <row r="6" ht="14.25" customHeight="1" s="38">
      <c r="B6" s="0" t="inlineStr">
        <is>
          <t>Ф2</t>
        </is>
      </c>
      <c r="C6" s="0" t="inlineStr">
        <is>
          <t>ПРОЕКТЫ</t>
        </is>
      </c>
      <c r="D6" s="0" t="inlineStr">
        <is>
          <t>ВНУТРЕННИЕ ПРОЕКТЫ</t>
        </is>
      </c>
      <c r="E6" s="0" t="inlineStr">
        <is>
          <t>ИТ</t>
        </is>
      </c>
      <c r="H6" s="20" t="n">
        <v>43466</v>
      </c>
    </row>
    <row r="7" ht="14.25" customHeight="1" s="38">
      <c r="B7" s="0" t="inlineStr">
        <is>
          <t>Ф3</t>
        </is>
      </c>
      <c r="D7" s="0" t="inlineStr">
        <is>
          <t>РАЗВИТИЕ</t>
        </is>
      </c>
      <c r="E7" s="0" t="inlineStr">
        <is>
          <t>ОБОРУДОВАНИЯ</t>
        </is>
      </c>
      <c r="H7" s="20" t="n">
        <v>43497</v>
      </c>
    </row>
    <row r="8" ht="14.25" customHeight="1" s="38">
      <c r="B8" s="0" t="inlineStr">
        <is>
          <t>Ф5</t>
        </is>
      </c>
      <c r="D8" s="0" t="inlineStr">
        <is>
          <t>ПРОЧЕЕ</t>
        </is>
      </c>
      <c r="E8" s="0" t="inlineStr">
        <is>
          <t>МЕБЕЛИ и РЕМОНТА</t>
        </is>
      </c>
      <c r="H8" s="20" t="n">
        <v>43525</v>
      </c>
    </row>
    <row r="9" ht="14.25" customHeight="1" s="38">
      <c r="B9" s="0" t="inlineStr">
        <is>
          <t>Ф6</t>
        </is>
      </c>
      <c r="D9" s="0" t="inlineStr">
        <is>
          <t>РАЗРАБОТКА ПО</t>
        </is>
      </c>
      <c r="E9" s="0" t="inlineStr">
        <is>
          <t>МОДЕРНИЗАЦИЯ ОС</t>
        </is>
      </c>
      <c r="H9" s="20" t="n">
        <v>43556</v>
      </c>
    </row>
    <row r="10">
      <c r="B10" s="0" t="inlineStr">
        <is>
          <t>Ф7</t>
        </is>
      </c>
      <c r="E10" s="0" t="inlineStr">
        <is>
          <t>Идеальный Ф5</t>
        </is>
      </c>
      <c r="H10" s="20" t="n">
        <v>43586</v>
      </c>
    </row>
    <row r="11">
      <c r="B11" s="0" t="inlineStr">
        <is>
          <t>Ф8</t>
        </is>
      </c>
      <c r="E11" s="0" t="inlineStr">
        <is>
          <t>Реновация Ф1</t>
        </is>
      </c>
      <c r="H11" s="20" t="n">
        <v>43617</v>
      </c>
    </row>
    <row r="12">
      <c r="B12" s="0" t="inlineStr">
        <is>
          <t>Ф9</t>
        </is>
      </c>
      <c r="E12" s="0" t="inlineStr">
        <is>
          <t>Реновация Ф2</t>
        </is>
      </c>
      <c r="H12" s="20" t="n">
        <v>43647</v>
      </c>
    </row>
    <row r="13">
      <c r="B13" s="0" t="inlineStr">
        <is>
          <t>Ф10</t>
        </is>
      </c>
      <c r="E13" s="0" t="inlineStr">
        <is>
          <t>Реновация Ф12</t>
        </is>
      </c>
      <c r="H13" s="20" t="n">
        <v>43678</v>
      </c>
    </row>
    <row r="14">
      <c r="B14" s="0" t="inlineStr">
        <is>
          <t>Ф11</t>
        </is>
      </c>
      <c r="E14" s="0" t="inlineStr">
        <is>
          <t>Реновация Ф9</t>
        </is>
      </c>
      <c r="H14" s="20" t="n">
        <v>43709</v>
      </c>
    </row>
    <row r="15">
      <c r="B15" s="0" t="inlineStr">
        <is>
          <t>Ф12</t>
        </is>
      </c>
      <c r="E15" s="0" t="inlineStr">
        <is>
          <t>Реновация УПР</t>
        </is>
      </c>
      <c r="H15" s="20" t="n">
        <v>43739</v>
      </c>
    </row>
    <row r="16">
      <c r="B16" s="0" t="inlineStr">
        <is>
          <t>Ф14</t>
        </is>
      </c>
      <c r="E16" s="0" t="inlineStr">
        <is>
          <t>Расширение ГЦ</t>
        </is>
      </c>
      <c r="H16" s="20" t="n">
        <v>43770</v>
      </c>
    </row>
    <row r="17">
      <c r="B17" s="0" t="inlineStr">
        <is>
          <t>ГЦ</t>
        </is>
      </c>
      <c r="E17" s="0" t="inlineStr">
        <is>
          <t>Реновация ЦР</t>
        </is>
      </c>
      <c r="H17" s="20" t="n">
        <v>43800</v>
      </c>
    </row>
    <row r="18">
      <c r="B18" s="0" t="inlineStr">
        <is>
          <t>Ф16</t>
        </is>
      </c>
      <c r="E18" s="0" t="inlineStr">
        <is>
          <t>ГЦ 2020</t>
        </is>
      </c>
      <c r="H18" s="20" t="n">
        <v>43831</v>
      </c>
    </row>
    <row r="19">
      <c r="B19" s="0" t="inlineStr">
        <is>
          <t>ДЦ 17</t>
        </is>
      </c>
      <c r="E19" s="0" t="inlineStr">
        <is>
          <t>Телемаркетинг</t>
        </is>
      </c>
      <c r="H19" s="20" t="n">
        <v>43862</v>
      </c>
    </row>
    <row r="20">
      <c r="B20" s="0" t="inlineStr">
        <is>
          <t>Ф18</t>
        </is>
      </c>
      <c r="E20" s="0" t="inlineStr">
        <is>
          <t>МРТ Ф5</t>
        </is>
      </c>
      <c r="H20" s="20" t="n">
        <v>43891</v>
      </c>
    </row>
    <row r="21">
      <c r="B21" s="0" t="inlineStr">
        <is>
          <t>Ф19</t>
        </is>
      </c>
      <c r="E21" s="0" t="inlineStr">
        <is>
          <t>Лаборатория</t>
        </is>
      </c>
      <c r="H21" s="20" t="n">
        <v>43922</v>
      </c>
    </row>
    <row r="22">
      <c r="B22" s="0" t="inlineStr">
        <is>
          <t>Ф20</t>
        </is>
      </c>
      <c r="E22" s="0" t="inlineStr">
        <is>
          <t>АУДИТ</t>
        </is>
      </c>
      <c r="H22" s="20" t="n">
        <v>43952</v>
      </c>
    </row>
    <row r="23">
      <c r="B23" s="0" t="inlineStr">
        <is>
          <t>КДЛ</t>
        </is>
      </c>
      <c r="E23" s="0" t="inlineStr">
        <is>
          <t>Благотворительность</t>
        </is>
      </c>
      <c r="H23" s="20" t="n">
        <v>43983</v>
      </c>
    </row>
    <row r="24">
      <c r="B24" s="0" t="inlineStr">
        <is>
          <t>УПР</t>
        </is>
      </c>
      <c r="E24" s="0" t="inlineStr">
        <is>
          <t>Лечение</t>
        </is>
      </c>
      <c r="H24" s="20" t="n">
        <v>44013</v>
      </c>
    </row>
    <row r="25">
      <c r="B25" s="0" t="inlineStr">
        <is>
          <t>СЕТЬ</t>
        </is>
      </c>
      <c r="E25" s="0" t="inlineStr">
        <is>
          <t>Суды</t>
        </is>
      </c>
      <c r="H25" s="20" t="n">
        <v>44044</v>
      </c>
    </row>
    <row r="26">
      <c r="E26" s="0" t="inlineStr">
        <is>
          <t>Штрафы</t>
        </is>
      </c>
      <c r="H26" s="20" t="n">
        <v>44075</v>
      </c>
    </row>
    <row r="27">
      <c r="E27" s="0" t="inlineStr">
        <is>
          <t>Командировка</t>
        </is>
      </c>
      <c r="H27" s="20" t="n">
        <v>44105</v>
      </c>
    </row>
    <row r="28">
      <c r="B28" s="0" t="inlineStr">
        <is>
          <t>Вид платежа</t>
        </is>
      </c>
      <c r="E28" s="0" t="inlineStr">
        <is>
          <t>Аутсорс</t>
        </is>
      </c>
      <c r="H28" s="20" t="n">
        <v>44136</v>
      </c>
    </row>
    <row r="29">
      <c r="B29" s="21" t="inlineStr">
        <is>
          <t>Аванс</t>
        </is>
      </c>
      <c r="E29" s="0" t="inlineStr">
        <is>
          <t>Лицензии</t>
        </is>
      </c>
      <c r="H29" s="20" t="n">
        <v>44166</v>
      </c>
    </row>
    <row r="30">
      <c r="B30" s="21" t="inlineStr">
        <is>
          <t>Постоплата</t>
        </is>
      </c>
      <c r="E30" s="0" t="inlineStr">
        <is>
          <t>Страховка</t>
        </is>
      </c>
      <c r="H30" s="20" t="n">
        <v>44197</v>
      </c>
    </row>
    <row r="31">
      <c r="B31" s="21" t="inlineStr">
        <is>
          <t>Рассрочка</t>
        </is>
      </c>
      <c r="H31" s="20" t="n">
        <v>44228</v>
      </c>
    </row>
    <row r="32">
      <c r="B32" s="21" t="inlineStr">
        <is>
          <t>не утвержден</t>
        </is>
      </c>
      <c r="H32" s="20" t="n">
        <v>44256</v>
      </c>
    </row>
    <row r="33">
      <c r="B33" s="21" t="inlineStr">
        <is>
          <t>утвержден</t>
        </is>
      </c>
      <c r="H33" s="20" t="n">
        <v>44287</v>
      </c>
    </row>
    <row r="34">
      <c r="B34" s="21" t="inlineStr">
        <is>
          <t>на согласовании</t>
        </is>
      </c>
      <c r="H34" s="20" t="n">
        <v>44317</v>
      </c>
    </row>
    <row r="35">
      <c r="H35" s="20" t="n">
        <v>44348</v>
      </c>
    </row>
    <row r="36">
      <c r="B36" s="21" t="inlineStr">
        <is>
          <t>$</t>
        </is>
      </c>
      <c r="H36" s="20" t="n">
        <v>44378</v>
      </c>
    </row>
    <row r="37">
      <c r="B37" s="21" t="inlineStr">
        <is>
          <t>руб.</t>
        </is>
      </c>
      <c r="H37" s="20" t="n">
        <v>44409</v>
      </c>
    </row>
    <row r="38">
      <c r="B38" s="21" t="inlineStr">
        <is>
          <t>евро</t>
        </is>
      </c>
      <c r="H38" s="20" t="n">
        <v>44440</v>
      </c>
    </row>
    <row r="39">
      <c r="H39" s="20" t="n">
        <v>44470</v>
      </c>
    </row>
    <row r="40">
      <c r="H40" s="20" t="n">
        <v>44501</v>
      </c>
    </row>
    <row r="41">
      <c r="H41" s="20" t="n">
        <v>44531</v>
      </c>
    </row>
    <row r="42">
      <c r="H42" s="20" t="n">
        <v>44562</v>
      </c>
    </row>
    <row r="43">
      <c r="H43" s="20" t="n">
        <v>44593</v>
      </c>
    </row>
    <row r="44">
      <c r="H44" s="20" t="n">
        <v>44621</v>
      </c>
    </row>
    <row r="45">
      <c r="H45" s="20" t="n">
        <v>44652</v>
      </c>
    </row>
    <row r="46">
      <c r="H46" s="20" t="n">
        <v>44682</v>
      </c>
    </row>
    <row r="47">
      <c r="H47" s="20" t="n">
        <v>44713</v>
      </c>
    </row>
    <row r="48">
      <c r="H48" s="20" t="n">
        <v>44743</v>
      </c>
    </row>
    <row r="49">
      <c r="H49" s="20" t="n">
        <v>44774</v>
      </c>
    </row>
    <row r="50">
      <c r="H50" s="20" t="n">
        <v>44805</v>
      </c>
    </row>
    <row r="51">
      <c r="H51" s="20" t="n">
        <v>44835</v>
      </c>
    </row>
    <row r="52">
      <c r="H52" s="20" t="n">
        <v>44866</v>
      </c>
    </row>
    <row r="53">
      <c r="H53" s="20" t="n">
        <v>44896</v>
      </c>
    </row>
    <row r="54">
      <c r="H54" s="20" t="n">
        <v>44927</v>
      </c>
    </row>
    <row r="55">
      <c r="H55" s="20" t="n">
        <v>44958</v>
      </c>
    </row>
    <row r="56">
      <c r="H56" s="20" t="n">
        <v>44986</v>
      </c>
    </row>
    <row r="57">
      <c r="H57" s="20" t="n">
        <v>45017</v>
      </c>
    </row>
    <row r="58">
      <c r="H58" s="20" t="n">
        <v>45047</v>
      </c>
    </row>
    <row r="59">
      <c r="H59" s="20" t="n">
        <v>45078</v>
      </c>
    </row>
    <row r="60">
      <c r="H60" s="20" t="n">
        <v>45108</v>
      </c>
    </row>
    <row r="61">
      <c r="H61" s="20" t="n">
        <v>45139</v>
      </c>
    </row>
    <row r="62">
      <c r="H62" s="20" t="n">
        <v>45170</v>
      </c>
    </row>
    <row r="63">
      <c r="H63" s="20" t="n">
        <v>45200</v>
      </c>
    </row>
    <row r="64">
      <c r="H64" s="20" t="n">
        <v>45231</v>
      </c>
    </row>
    <row r="65">
      <c r="H65" s="20" t="n">
        <v>45261</v>
      </c>
    </row>
    <row r="66">
      <c r="H66" s="20" t="n">
        <v>45292</v>
      </c>
    </row>
    <row r="67">
      <c r="H67" s="20" t="n">
        <v>45323</v>
      </c>
    </row>
    <row r="68">
      <c r="H68" s="20" t="n">
        <v>45352</v>
      </c>
    </row>
    <row r="69">
      <c r="H69" s="20" t="n">
        <v>45383</v>
      </c>
    </row>
    <row r="70">
      <c r="H70" s="20" t="n">
        <v>45413</v>
      </c>
    </row>
    <row r="71">
      <c r="H71" s="20" t="n">
        <v>45444</v>
      </c>
    </row>
    <row r="72">
      <c r="H72" s="20" t="n">
        <v>45474</v>
      </c>
    </row>
    <row r="73">
      <c r="H73" s="20" t="n">
        <v>45505</v>
      </c>
    </row>
    <row r="74">
      <c r="H74" s="20" t="n">
        <v>45536</v>
      </c>
    </row>
    <row r="75">
      <c r="H75" s="20" t="n">
        <v>45566</v>
      </c>
    </row>
    <row r="76">
      <c r="H76" s="20" t="n">
        <v>45597</v>
      </c>
    </row>
    <row r="77">
      <c r="H77" s="20" t="n">
        <v>45627</v>
      </c>
    </row>
  </sheetData>
  <autoFilter ref="B4:E61"/>
  <pageMargins left="0.700000047683716" right="0.700000047683716" top="0.75" bottom="0.75" header="0.300000011920929" footer="0.300000011920929"/>
  <pageSetup orientation="portrait" paperSize="9" fitToHeight="0" fitToWidth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C32"/>
  <sheetViews>
    <sheetView workbookViewId="0">
      <selection activeCell="A1" sqref="A1"/>
    </sheetView>
  </sheetViews>
  <sheetFormatPr baseColWidth="8" defaultColWidth="11.28515625" defaultRowHeight="14.25"/>
  <sheetData>
    <row r="3">
      <c r="A3" s="0" t="inlineStr">
        <is>
          <t>Выпадающий список</t>
        </is>
      </c>
    </row>
    <row r="4">
      <c r="A4" s="0" t="inlineStr">
        <is>
          <t>требуется</t>
        </is>
      </c>
      <c r="C4" s="0" t="inlineStr">
        <is>
          <t>руб.</t>
        </is>
      </c>
    </row>
    <row r="5">
      <c r="A5" s="0" t="inlineStr">
        <is>
          <t>не требуется</t>
        </is>
      </c>
      <c r="C5" s="0" t="inlineStr">
        <is>
          <t xml:space="preserve">$ </t>
        </is>
      </c>
    </row>
    <row r="6">
      <c r="A6" s="0" t="inlineStr">
        <is>
          <t>текущий</t>
        </is>
      </c>
      <c r="C6" s="0" t="inlineStr">
        <is>
          <t>евро</t>
        </is>
      </c>
    </row>
    <row r="7">
      <c r="A7" s="0" t="inlineStr">
        <is>
          <t>внебюджет</t>
        </is>
      </c>
    </row>
    <row r="9">
      <c r="A9" s="0" t="inlineStr">
        <is>
          <t>Ф01</t>
        </is>
      </c>
    </row>
    <row r="10">
      <c r="A10" s="0" t="inlineStr">
        <is>
          <t>Ф02</t>
        </is>
      </c>
    </row>
    <row r="11">
      <c r="A11" s="0" t="inlineStr">
        <is>
          <t>Ф03</t>
        </is>
      </c>
    </row>
    <row r="12">
      <c r="A12" s="0" t="inlineStr">
        <is>
          <t>Ф04</t>
        </is>
      </c>
    </row>
    <row r="13">
      <c r="A13" s="0" t="inlineStr">
        <is>
          <t>Ф05</t>
        </is>
      </c>
    </row>
    <row r="14">
      <c r="A14" s="0" t="inlineStr">
        <is>
          <t>Ф06</t>
        </is>
      </c>
    </row>
    <row r="15">
      <c r="A15" s="0" t="inlineStr">
        <is>
          <t>Ф07</t>
        </is>
      </c>
    </row>
    <row r="16">
      <c r="A16" s="0" t="inlineStr">
        <is>
          <t>Ф08</t>
        </is>
      </c>
    </row>
    <row r="17">
      <c r="A17" s="0" t="inlineStr">
        <is>
          <t>Ф09</t>
        </is>
      </c>
    </row>
    <row r="18">
      <c r="A18" s="0" t="inlineStr">
        <is>
          <t>Ф10</t>
        </is>
      </c>
    </row>
    <row r="19">
      <c r="A19" s="0" t="inlineStr">
        <is>
          <t>Ф11</t>
        </is>
      </c>
    </row>
    <row r="20">
      <c r="A20" s="0" t="inlineStr">
        <is>
          <t>Ф12</t>
        </is>
      </c>
    </row>
    <row r="21">
      <c r="A21" s="0" t="inlineStr">
        <is>
          <t>Ф13</t>
        </is>
      </c>
    </row>
    <row r="22">
      <c r="A22" s="0" t="inlineStr">
        <is>
          <t>Ф14</t>
        </is>
      </c>
    </row>
    <row r="23">
      <c r="A23" s="0" t="inlineStr">
        <is>
          <t>Ф15</t>
        </is>
      </c>
    </row>
    <row r="24">
      <c r="A24" s="0" t="inlineStr">
        <is>
          <t>Ф16</t>
        </is>
      </c>
    </row>
    <row r="25">
      <c r="A25" s="0" t="inlineStr">
        <is>
          <t>Ф17</t>
        </is>
      </c>
    </row>
    <row r="26">
      <c r="A26" s="0" t="inlineStr">
        <is>
          <t>Ф18</t>
        </is>
      </c>
    </row>
    <row r="27">
      <c r="A27" s="0" t="inlineStr">
        <is>
          <t>Ф19</t>
        </is>
      </c>
    </row>
    <row r="28">
      <c r="A28" s="0" t="inlineStr">
        <is>
          <t>Ф20</t>
        </is>
      </c>
    </row>
    <row r="29">
      <c r="A29" s="0" t="inlineStr">
        <is>
          <t>КДЛ</t>
        </is>
      </c>
      <c r="B29" s="0" t="inlineStr">
        <is>
          <t>Аванс</t>
        </is>
      </c>
    </row>
    <row r="30">
      <c r="A30" s="0" t="inlineStr">
        <is>
          <t>Управление</t>
        </is>
      </c>
      <c r="B30" s="0" t="inlineStr">
        <is>
          <t>Постоплата</t>
        </is>
      </c>
    </row>
    <row r="31">
      <c r="A31" s="0" t="inlineStr">
        <is>
          <t>КДЛ</t>
        </is>
      </c>
      <c r="B31" s="0" t="inlineStr">
        <is>
          <t>Рассрочка</t>
        </is>
      </c>
    </row>
    <row r="32">
      <c r="A32" s="0" t="inlineStr">
        <is>
          <t>Дирекция</t>
        </is>
      </c>
    </row>
  </sheetData>
  <pageMargins left="0.700000047683716" right="0.700000047683716" top="0.75" bottom="0.75" header="0.300000011920929" footer="0.300000011920929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Мишин Сергей Сергеевич</dc:creator>
  <dcterms:created xmlns:dcterms="http://purl.org/dc/terms/" xmlns:xsi="http://www.w3.org/2001/XMLSchema-instance" xsi:type="dcterms:W3CDTF">2025-05-30T10:11:28Z</dcterms:created>
  <dcterms:modified xmlns:dcterms="http://purl.org/dc/terms/" xmlns:xsi="http://www.w3.org/2001/XMLSchema-instance" xsi:type="dcterms:W3CDTF">2026-05-20T10:35:08Z</dcterms:modified>
  <cp:lastModifiedBy>Мишин Сергей Сергеевич</cp:lastModifiedBy>
</cp:coreProperties>
</file>